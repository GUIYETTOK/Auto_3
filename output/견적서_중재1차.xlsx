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49740" windowHeight="28300" tabRatio="600" firstSheet="0" activeTab="0" autoFilterDateGrouping="1"/>
  </bookViews>
  <sheets>
    <sheet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;[Red]\-#,##0\ "/>
    <numFmt numFmtId="165" formatCode="0_);[Red]\(0\)"/>
  </numFmts>
  <fonts count="12"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sz val="8"/>
      <scheme val="minor"/>
    </font>
    <font>
      <name val="굴림체"/>
      <charset val="129"/>
      <family val="3"/>
      <sz val="8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3"/>
      <b val="1"/>
      <sz val="10"/>
      <u val="single"/>
      <scheme val="major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b val="1"/>
      <color indexed="64"/>
      <sz val="10"/>
    </font>
    <font>
      <name val="맑은 고딕"/>
      <charset val="129"/>
      <family val="3"/>
      <b val="1"/>
      <color indexed="64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1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2" borderId="32" applyAlignment="1" pivotButton="0" quotePrefix="0" xfId="0">
      <alignment horizontal="center" vertical="center"/>
    </xf>
    <xf numFmtId="0" fontId="5" fillId="2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164" fontId="10" fillId="0" borderId="35" applyAlignment="1" pivotButton="0" quotePrefix="0" xfId="0">
      <alignment vertical="center"/>
    </xf>
    <xf numFmtId="164" fontId="10" fillId="3" borderId="35" applyAlignment="1" pivotButton="0" quotePrefix="0" xfId="0">
      <alignment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164" fontId="5" fillId="0" borderId="38" applyAlignment="1" pivotButton="0" quotePrefix="0" xfId="0">
      <alignment vertical="center"/>
    </xf>
    <xf numFmtId="164" fontId="5" fillId="2" borderId="35" applyAlignment="1" pivotButton="0" quotePrefix="0" xfId="0">
      <alignment vertical="center"/>
    </xf>
    <xf numFmtId="164" fontId="5" fillId="0" borderId="35" applyAlignment="1" pivotButton="0" quotePrefix="0" xfId="0">
      <alignment vertical="center"/>
    </xf>
    <xf numFmtId="0" fontId="4" fillId="0" borderId="39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top"/>
    </xf>
    <xf numFmtId="0" fontId="5" fillId="0" borderId="21" applyAlignment="1" pivotButton="0" quotePrefix="0" xfId="0">
      <alignment horizontal="center" vertical="top"/>
    </xf>
    <xf numFmtId="0" fontId="5" fillId="0" borderId="22" applyAlignment="1" pivotButton="0" quotePrefix="0" xfId="0">
      <alignment horizontal="center" vertical="top"/>
    </xf>
    <xf numFmtId="0" fontId="5" fillId="0" borderId="23" applyAlignment="1" pivotButton="0" quotePrefix="0" xfId="0">
      <alignment horizontal="center" vertical="top"/>
    </xf>
    <xf numFmtId="0" fontId="9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 wrapText="1"/>
    </xf>
    <xf numFmtId="164" fontId="10" fillId="0" borderId="13" applyAlignment="1" pivotButton="0" quotePrefix="0" xfId="0">
      <alignment horizontal="center" vertical="center" wrapText="1"/>
    </xf>
    <xf numFmtId="164" fontId="10" fillId="0" borderId="14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vertical="center"/>
    </xf>
    <xf numFmtId="164" fontId="10" fillId="0" borderId="13" applyAlignment="1" pivotButton="0" quotePrefix="0" xfId="0">
      <alignment vertical="center"/>
    </xf>
    <xf numFmtId="164" fontId="10" fillId="0" borderId="14" applyAlignment="1" pivotButton="0" quotePrefix="0" xfId="0">
      <alignment vertical="center"/>
    </xf>
    <xf numFmtId="164" fontId="10" fillId="3" borderId="12" applyAlignment="1" pivotButton="0" quotePrefix="0" xfId="0">
      <alignment vertical="center"/>
    </xf>
    <xf numFmtId="164" fontId="10" fillId="3" borderId="13" applyAlignment="1" pivotButton="0" quotePrefix="0" xfId="0">
      <alignment vertical="center"/>
    </xf>
    <xf numFmtId="164" fontId="10" fillId="3" borderId="14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15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0" fontId="10" fillId="3" borderId="14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/>
    </xf>
    <xf numFmtId="164" fontId="10" fillId="0" borderId="13" applyAlignment="1" pivotButton="0" quotePrefix="0" xfId="0">
      <alignment horizontal="center" vertical="center"/>
    </xf>
    <xf numFmtId="164" fontId="10" fillId="0" borderId="14" applyAlignment="1" pivotButton="0" quotePrefix="0" xfId="0">
      <alignment horizontal="center" vertical="center"/>
    </xf>
    <xf numFmtId="164" fontId="10" fillId="0" borderId="12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164" fontId="10" fillId="0" borderId="14" applyAlignment="1" pivotButton="0" quotePrefix="0" xfId="0">
      <alignment horizontal="right"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165" fontId="11" fillId="3" borderId="12" applyAlignment="1" pivotButton="0" quotePrefix="0" xfId="0">
      <alignment horizontal="center" vertical="center"/>
    </xf>
    <xf numFmtId="165" fontId="11" fillId="3" borderId="13" applyAlignment="1" pivotButton="0" quotePrefix="0" xfId="0">
      <alignment horizontal="center" vertical="center"/>
    </xf>
    <xf numFmtId="165" fontId="11" fillId="3" borderId="14" applyAlignment="1" pivotButton="0" quotePrefix="0" xfId="0">
      <alignment horizontal="center" vertical="center"/>
    </xf>
    <xf numFmtId="164" fontId="10" fillId="3" borderId="12" applyAlignment="1" pivotButton="0" quotePrefix="0" xfId="0">
      <alignment horizontal="center" vertical="center"/>
    </xf>
    <xf numFmtId="164" fontId="10" fillId="3" borderId="13" applyAlignment="1" pivotButton="0" quotePrefix="0" xfId="0">
      <alignment horizontal="center" vertical="center"/>
    </xf>
    <xf numFmtId="164" fontId="10" fillId="3" borderId="14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5" fillId="2" borderId="13" applyAlignment="1" pivotButton="0" quotePrefix="0" xfId="0">
      <alignment horizontal="center" vertical="center"/>
    </xf>
    <xf numFmtId="164" fontId="5" fillId="2" borderId="14" applyAlignment="1" pivotButton="0" quotePrefix="0" xfId="0">
      <alignment horizontal="center" vertical="center"/>
    </xf>
    <xf numFmtId="164" fontId="5" fillId="2" borderId="12" applyAlignment="1" pivotButton="0" quotePrefix="0" xfId="0">
      <alignment vertical="center"/>
    </xf>
    <xf numFmtId="164" fontId="5" fillId="2" borderId="13" applyAlignment="1" pivotButton="0" quotePrefix="0" xfId="0">
      <alignment vertical="center"/>
    </xf>
    <xf numFmtId="164" fontId="5" fillId="2" borderId="14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/>
    </xf>
    <xf numFmtId="164" fontId="5" fillId="0" borderId="12" applyAlignment="1" pivotButton="0" quotePrefix="0" xfId="0">
      <alignment vertical="center"/>
    </xf>
    <xf numFmtId="164" fontId="5" fillId="0" borderId="13" applyAlignment="1" pivotButton="0" quotePrefix="0" xfId="0">
      <alignment vertical="center"/>
    </xf>
    <xf numFmtId="164" fontId="5" fillId="0" borderId="14" applyAlignment="1" pivotButton="0" quotePrefix="0" xfId="0">
      <alignment vertical="center"/>
    </xf>
    <xf numFmtId="0" fontId="5" fillId="0" borderId="44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64" fontId="5" fillId="0" borderId="44" applyAlignment="1" pivotButton="0" quotePrefix="0" xfId="0">
      <alignment vertical="center"/>
    </xf>
    <xf numFmtId="164" fontId="5" fillId="0" borderId="40" applyAlignment="1" pivotButton="0" quotePrefix="0" xfId="0">
      <alignment vertical="center"/>
    </xf>
    <xf numFmtId="164" fontId="5" fillId="0" borderId="41" applyAlignment="1" pivotButton="0" quotePrefix="0" xfId="0">
      <alignment vertical="center"/>
    </xf>
    <xf numFmtId="0" fontId="5" fillId="2" borderId="44" applyAlignment="1" pivotButton="0" quotePrefix="0" xfId="0">
      <alignment horizontal="center" vertical="center"/>
    </xf>
    <xf numFmtId="0" fontId="5" fillId="2" borderId="45" applyAlignment="1" pivotButton="0" quotePrefix="0" xfId="0">
      <alignment horizontal="center" vertical="center"/>
    </xf>
    <xf numFmtId="0" fontId="5" fillId="0" borderId="43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42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164" fontId="5" fillId="0" borderId="28" applyAlignment="1" pivotButton="0" quotePrefix="0" xfId="0">
      <alignment vertical="center"/>
    </xf>
    <xf numFmtId="164" fontId="5" fillId="0" borderId="29" applyAlignment="1" pivotButton="0" quotePrefix="0" xfId="0">
      <alignment vertical="center"/>
    </xf>
    <xf numFmtId="164" fontId="5" fillId="0" borderId="30" applyAlignment="1" pivotButton="0" quotePrefix="0" xfId="0">
      <alignment vertical="center"/>
    </xf>
    <xf numFmtId="0" fontId="5" fillId="2" borderId="28" applyAlignment="1" pivotButton="0" quotePrefix="0" xfId="0">
      <alignment horizontal="center" vertical="center"/>
    </xf>
    <xf numFmtId="0" fontId="5" fillId="2" borderId="31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6" fillId="0" borderId="5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0" pivotButton="0" quotePrefix="0" xfId="0"/>
    <xf numFmtId="0" fontId="7" fillId="0" borderId="5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1" pivotButton="0" quotePrefix="0" xfId="0"/>
    <xf numFmtId="0" fontId="5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53" applyAlignment="1" pivotButton="0" quotePrefix="0" xfId="0">
      <alignment horizontal="left" vertical="center"/>
    </xf>
    <xf numFmtId="0" fontId="0" fillId="0" borderId="15" pivotButton="0" quotePrefix="0" xfId="0"/>
    <xf numFmtId="0" fontId="8" fillId="0" borderId="5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5" fillId="0" borderId="58" applyAlignment="1" pivotButton="0" quotePrefix="0" xfId="0">
      <alignment horizontal="center"/>
    </xf>
    <xf numFmtId="0" fontId="0" fillId="0" borderId="19" pivotButton="0" quotePrefix="0" xfId="0"/>
    <xf numFmtId="0" fontId="5" fillId="0" borderId="5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top"/>
    </xf>
    <xf numFmtId="0" fontId="0" fillId="0" borderId="21" pivotButton="0" quotePrefix="0" xfId="0"/>
    <xf numFmtId="0" fontId="0" fillId="0" borderId="22" pivotButton="0" quotePrefix="0" xfId="0"/>
    <xf numFmtId="0" fontId="5" fillId="0" borderId="61" applyAlignment="1" pivotButton="0" quotePrefix="0" xfId="0">
      <alignment horizontal="center" vertical="top"/>
    </xf>
    <xf numFmtId="0" fontId="0" fillId="0" borderId="23" pivotButton="0" quotePrefix="0" xfId="0"/>
    <xf numFmtId="0" fontId="9" fillId="0" borderId="53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5" fillId="0" borderId="5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5" fillId="0" borderId="52" applyAlignment="1" pivotButton="0" quotePrefix="0" xfId="0">
      <alignment horizontal="center" vertical="center"/>
    </xf>
    <xf numFmtId="0" fontId="0" fillId="0" borderId="31" pivotButton="0" quotePrefix="0" xfId="0"/>
    <xf numFmtId="0" fontId="5" fillId="2" borderId="56" applyAlignment="1" pivotButton="0" quotePrefix="0" xfId="0">
      <alignment horizontal="center" vertical="center"/>
    </xf>
    <xf numFmtId="0" fontId="5" fillId="2" borderId="5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164" fontId="10" fillId="0" borderId="35" applyAlignment="1" pivotButton="0" quotePrefix="0" xfId="0">
      <alignment horizontal="center" vertical="center" wrapText="1"/>
    </xf>
    <xf numFmtId="164" fontId="10" fillId="0" borderId="35" applyAlignment="1" pivotButton="0" quotePrefix="0" xfId="0">
      <alignment vertical="center"/>
    </xf>
    <xf numFmtId="164" fontId="10" fillId="3" borderId="35" applyAlignment="1" pivotButton="0" quotePrefix="0" xfId="0">
      <alignment vertical="center"/>
    </xf>
    <xf numFmtId="0" fontId="11" fillId="3" borderId="53" applyAlignment="1" pivotButton="0" quotePrefix="0" xfId="0">
      <alignment horizontal="center" vertical="center"/>
    </xf>
    <xf numFmtId="0" fontId="10" fillId="3" borderId="35" applyAlignment="1" pivotButton="0" quotePrefix="0" xfId="0">
      <alignment horizontal="center" vertical="center" wrapText="1"/>
    </xf>
    <xf numFmtId="164" fontId="10" fillId="0" borderId="35" applyAlignment="1" pivotButton="0" quotePrefix="0" xfId="0">
      <alignment horizontal="center" vertical="center"/>
    </xf>
    <xf numFmtId="164" fontId="10" fillId="0" borderId="35" applyAlignment="1" pivotButton="0" quotePrefix="0" xfId="0">
      <alignment horizontal="right" vertical="center"/>
    </xf>
    <xf numFmtId="0" fontId="10" fillId="3" borderId="35" applyAlignment="1" pivotButton="0" quotePrefix="0" xfId="0">
      <alignment horizontal="center" vertical="center"/>
    </xf>
    <xf numFmtId="164" fontId="10" fillId="3" borderId="35" applyAlignment="1" pivotButton="0" quotePrefix="0" xfId="0">
      <alignment horizontal="center" vertical="center"/>
    </xf>
    <xf numFmtId="0" fontId="5" fillId="2" borderId="53" applyAlignment="1" pivotButton="0" quotePrefix="0" xfId="0">
      <alignment horizontal="center" vertical="center"/>
    </xf>
    <xf numFmtId="165" fontId="11" fillId="3" borderId="35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left" vertical="center"/>
    </xf>
    <xf numFmtId="164" fontId="5" fillId="0" borderId="35" applyAlignment="1" pivotButton="0" quotePrefix="0" xfId="0">
      <alignment vertical="center"/>
    </xf>
    <xf numFmtId="164" fontId="5" fillId="0" borderId="38" applyAlignment="1" pivotButton="0" quotePrefix="0" xfId="0">
      <alignment vertical="center"/>
    </xf>
    <xf numFmtId="0" fontId="5" fillId="2" borderId="35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5" applyAlignment="1" pivotButton="0" quotePrefix="0" xfId="0">
      <alignment vertical="center"/>
    </xf>
    <xf numFmtId="0" fontId="5" fillId="0" borderId="51" applyAlignment="1" pivotButton="0" quotePrefix="0" xfId="0">
      <alignment horizontal="left" vertical="center"/>
    </xf>
    <xf numFmtId="164" fontId="5" fillId="0" borderId="51" applyAlignment="1" pivotButton="0" quotePrefix="0" xfId="0">
      <alignment vertical="center"/>
    </xf>
    <xf numFmtId="0" fontId="5" fillId="2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4" fontId="5" fillId="0" borderId="46" applyAlignment="1" pivotButton="0" quotePrefix="0" xfId="0">
      <alignment vertical="center"/>
    </xf>
    <xf numFmtId="0" fontId="5" fillId="2" borderId="48" applyAlignment="1" pivotButton="0" quotePrefix="0" xfId="0">
      <alignment horizontal="center" vertical="center"/>
    </xf>
    <xf numFmtId="0" fontId="0" fillId="0" borderId="45" pivotButton="0" quotePrefix="0" xfId="0"/>
    <xf numFmtId="0" fontId="5" fillId="0" borderId="49" applyAlignment="1" pivotButton="0" quotePrefix="0" xfId="0">
      <alignment horizontal="left" vertical="center"/>
    </xf>
    <xf numFmtId="0" fontId="5" fillId="0" borderId="5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24</col>
      <colOff>63500</colOff>
      <row>4</row>
      <rowOff>38100</rowOff>
    </from>
    <ext cx="482600" cy="508000"/>
    <pic>
      <nvPicPr>
        <cNvPr id="3" name="그림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 flipH="1">
          <a:off x="8204200" y="952500"/>
          <a:ext cx="482600" cy="50800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tabSelected="1" workbookViewId="0">
      <selection activeCell="AB32" sqref="AB32"/>
    </sheetView>
  </sheetViews>
  <sheetFormatPr baseColWidth="10" defaultRowHeight="18"/>
  <cols>
    <col width="4.42578125" customWidth="1" style="23" min="1" max="1"/>
    <col width="3.140625" customWidth="1" style="23" min="2" max="6"/>
    <col width="11.7109375" customWidth="1" style="23" min="7" max="7"/>
    <col width="3.140625" customWidth="1" style="23" min="8" max="10"/>
    <col width="10.42578125" customWidth="1" style="23" min="11" max="11"/>
    <col width="3.140625" customWidth="1" style="23" min="12" max="12"/>
    <col width="0.85546875" customWidth="1" style="23" min="13" max="13"/>
    <col width="3.5703125" customWidth="1" style="23" min="14" max="14"/>
    <col width="6.140625" customWidth="1" style="23" min="15" max="15"/>
    <col width="3.140625" customWidth="1" style="23" min="16" max="18"/>
    <col width="1.42578125" customWidth="1" style="23" min="19" max="19"/>
    <col width="3.140625" customWidth="1" style="23" min="20" max="22"/>
    <col width="2.7109375" customWidth="1" style="23" min="23" max="23"/>
    <col width="3.140625" customWidth="1" style="23" min="24" max="24"/>
    <col width="6.42578125" customWidth="1" style="23" min="25" max="25"/>
  </cols>
  <sheetData>
    <row r="1">
      <c r="A1" s="24" t="inlineStr">
        <is>
          <t>견 적 서</t>
        </is>
      </c>
    </row>
    <row r="2"/>
    <row r="3"/>
    <row r="4">
      <c r="A4" s="1" t="n"/>
      <c r="B4" s="1" t="n"/>
      <c r="C4" s="1" t="n"/>
      <c r="D4" s="1" t="n"/>
      <c r="E4" s="1" t="n"/>
      <c r="F4" s="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</row>
    <row r="5">
      <c r="A5" s="3" t="n"/>
      <c r="B5" s="4" t="n"/>
      <c r="C5" s="4" t="n"/>
      <c r="D5" s="4" t="n"/>
      <c r="E5" s="4" t="n"/>
      <c r="F5" s="4" t="n"/>
      <c r="G5" s="4" t="n"/>
      <c r="H5" s="5" t="n"/>
      <c r="I5" s="6" t="n"/>
      <c r="J5" s="141" t="inlineStr">
        <is>
          <t>공
급
자</t>
        </is>
      </c>
      <c r="K5" s="142" t="inlineStr">
        <is>
          <t>사업자번호</t>
        </is>
      </c>
      <c r="L5" s="143" t="n"/>
      <c r="M5" s="143" t="n"/>
      <c r="N5" s="144" t="n"/>
      <c r="O5" s="145" t="inlineStr">
        <is>
          <t>5 3 9 - 8 8 - 0 1 8 8 2</t>
        </is>
      </c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6" t="n"/>
    </row>
    <row r="6" ht="20" customHeight="1" s="147">
      <c r="A6" s="148" t="inlineStr">
        <is>
          <t>국군수도병원   귀하</t>
        </is>
      </c>
      <c r="H6" s="149" t="n"/>
      <c r="I6" s="7" t="n"/>
      <c r="J6" s="150" t="n"/>
      <c r="K6" s="151" t="inlineStr">
        <is>
          <t>상    호</t>
        </is>
      </c>
      <c r="L6" s="152" t="n"/>
      <c r="M6" s="152" t="n"/>
      <c r="N6" s="153" t="n"/>
      <c r="O6" s="151" t="inlineStr">
        <is>
          <t>도하인터내셔널㈜</t>
        </is>
      </c>
      <c r="P6" s="152" t="n"/>
      <c r="Q6" s="152" t="n"/>
      <c r="R6" s="153" t="n"/>
      <c r="S6" s="151" t="inlineStr">
        <is>
          <t>대 표 자</t>
        </is>
      </c>
      <c r="T6" s="152" t="n"/>
      <c r="U6" s="153" t="n"/>
      <c r="V6" s="154" t="inlineStr">
        <is>
          <t xml:space="preserve">  김  만  봉</t>
        </is>
      </c>
      <c r="W6" s="152" t="n"/>
      <c r="X6" s="152" t="n"/>
      <c r="Y6" s="155" t="n"/>
    </row>
    <row r="7" ht="20" customHeight="1" s="147">
      <c r="A7" s="156" t="inlineStr">
        <is>
          <t>중재1차</t>
        </is>
      </c>
      <c r="H7" s="149" t="n"/>
      <c r="I7" s="35" t="n"/>
      <c r="J7" s="150" t="n"/>
      <c r="K7" s="157" t="inlineStr">
        <is>
          <t>사 업 장</t>
        </is>
      </c>
      <c r="L7" s="158" t="n"/>
      <c r="M7" s="158" t="n"/>
      <c r="N7" s="159" t="n"/>
      <c r="O7" s="160" t="inlineStr">
        <is>
          <t>경기도 남양주시 진접읍 금강로1553-21,</t>
        </is>
      </c>
      <c r="P7" s="158" t="n"/>
      <c r="Q7" s="158" t="n"/>
      <c r="R7" s="158" t="n"/>
      <c r="S7" s="158" t="n"/>
      <c r="T7" s="158" t="n"/>
      <c r="U7" s="158" t="n"/>
      <c r="V7" s="158" t="n"/>
      <c r="W7" s="158" t="n"/>
      <c r="X7" s="158" t="n"/>
      <c r="Y7" s="161" t="n"/>
    </row>
    <row r="8">
      <c r="A8" s="162" t="inlineStr">
        <is>
          <t xml:space="preserve">   아래와 같이 견적합니다</t>
        </is>
      </c>
      <c r="H8" s="149" t="n"/>
      <c r="I8" s="6" t="n"/>
      <c r="J8" s="150" t="n"/>
      <c r="K8" s="163" t="inlineStr">
        <is>
          <t>주    소</t>
        </is>
      </c>
      <c r="L8" s="164" t="n"/>
      <c r="M8" s="164" t="n"/>
      <c r="N8" s="165" t="n"/>
      <c r="O8" s="166" t="inlineStr">
        <is>
          <t>신우상가 201호</t>
        </is>
      </c>
      <c r="P8" s="164" t="n"/>
      <c r="Q8" s="164" t="n"/>
      <c r="R8" s="164" t="n"/>
      <c r="S8" s="164" t="n"/>
      <c r="T8" s="164" t="n"/>
      <c r="U8" s="164" t="n"/>
      <c r="V8" s="164" t="n"/>
      <c r="W8" s="164" t="n"/>
      <c r="X8" s="164" t="n"/>
      <c r="Y8" s="167" t="n"/>
    </row>
    <row r="9">
      <c r="A9" s="9" t="n"/>
      <c r="B9" s="10" t="n"/>
      <c r="C9" s="10" t="n"/>
      <c r="D9" s="10" t="n"/>
      <c r="E9" s="10" t="n"/>
      <c r="F9" s="10" t="n"/>
      <c r="G9" s="10" t="n"/>
      <c r="H9" s="6" t="n"/>
      <c r="I9" s="6" t="n"/>
      <c r="J9" s="150" t="n"/>
      <c r="K9" s="151" t="inlineStr">
        <is>
          <t>업    태</t>
        </is>
      </c>
      <c r="L9" s="152" t="n"/>
      <c r="M9" s="152" t="n"/>
      <c r="N9" s="153" t="n"/>
      <c r="O9" s="151" t="inlineStr">
        <is>
          <t>도매,소매</t>
        </is>
      </c>
      <c r="P9" s="152" t="n"/>
      <c r="Q9" s="152" t="n"/>
      <c r="R9" s="153" t="n"/>
      <c r="S9" s="151" t="inlineStr">
        <is>
          <t>종    목</t>
        </is>
      </c>
      <c r="T9" s="152" t="n"/>
      <c r="U9" s="153" t="n"/>
      <c r="V9" s="168" t="inlineStr">
        <is>
          <t>의료용품,의료기기</t>
        </is>
      </c>
      <c r="W9" s="152" t="n"/>
      <c r="X9" s="152" t="n"/>
      <c r="Y9" s="155" t="n"/>
    </row>
    <row r="10">
      <c r="A10" s="169" t="inlineStr">
        <is>
          <t xml:space="preserve">      2026년      월       일</t>
        </is>
      </c>
      <c r="B10" s="170" t="n"/>
      <c r="C10" s="170" t="n"/>
      <c r="D10" s="170" t="n"/>
      <c r="E10" s="170" t="n"/>
      <c r="F10" s="170" t="n"/>
      <c r="G10" s="170" t="n"/>
      <c r="H10" s="171" t="n"/>
      <c r="I10" s="6" t="n"/>
      <c r="J10" s="172" t="n"/>
      <c r="K10" s="173" t="inlineStr">
        <is>
          <t>전화번호</t>
        </is>
      </c>
      <c r="L10" s="174" t="n"/>
      <c r="M10" s="174" t="n"/>
      <c r="N10" s="175" t="n"/>
      <c r="O10" s="173" t="inlineStr">
        <is>
          <t>031-571-3599</t>
        </is>
      </c>
      <c r="P10" s="174" t="n"/>
      <c r="Q10" s="174" t="n"/>
      <c r="R10" s="175" t="n"/>
      <c r="S10" s="173" t="inlineStr">
        <is>
          <t>FAX</t>
        </is>
      </c>
      <c r="T10" s="174" t="n"/>
      <c r="U10" s="175" t="n"/>
      <c r="V10" s="176" t="inlineStr">
        <is>
          <t>031-572-3599</t>
        </is>
      </c>
      <c r="W10" s="174" t="n"/>
      <c r="X10" s="174" t="n"/>
      <c r="Y10" s="177" t="n"/>
    </row>
    <row r="11">
      <c r="A11" s="1" t="n"/>
      <c r="B11" s="1" t="n"/>
      <c r="C11" s="1" t="n"/>
      <c r="D11" s="1" t="n"/>
      <c r="E11" s="1" t="n"/>
      <c r="F11" s="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</row>
    <row r="12">
      <c r="A12" s="11" t="inlineStr">
        <is>
          <t>번호</t>
        </is>
      </c>
      <c r="B12" s="178" t="inlineStr">
        <is>
          <t>품    명</t>
        </is>
      </c>
      <c r="C12" s="143" t="n"/>
      <c r="D12" s="143" t="n"/>
      <c r="E12" s="143" t="n"/>
      <c r="F12" s="143" t="n"/>
      <c r="G12" s="144" t="n"/>
      <c r="H12" s="178" t="inlineStr">
        <is>
          <t>규  격</t>
        </is>
      </c>
      <c r="I12" s="143" t="n"/>
      <c r="J12" s="143" t="n"/>
      <c r="K12" s="144" t="n"/>
      <c r="L12" s="178" t="inlineStr">
        <is>
          <t>단위</t>
        </is>
      </c>
      <c r="M12" s="143" t="n"/>
      <c r="N12" s="144" t="n"/>
      <c r="O12" s="12" t="inlineStr">
        <is>
          <t>수량</t>
        </is>
      </c>
      <c r="P12" s="178" t="inlineStr">
        <is>
          <t>단  가</t>
        </is>
      </c>
      <c r="Q12" s="143" t="n"/>
      <c r="R12" s="143" t="n"/>
      <c r="S12" s="144" t="n"/>
      <c r="T12" s="178" t="inlineStr">
        <is>
          <t>금   액</t>
        </is>
      </c>
      <c r="U12" s="143" t="n"/>
      <c r="V12" s="143" t="n"/>
      <c r="W12" s="144" t="n"/>
      <c r="X12" s="179" t="inlineStr">
        <is>
          <t>비  고</t>
        </is>
      </c>
      <c r="Y12" s="146" t="n"/>
    </row>
    <row r="13">
      <c r="A13" s="13" t="n">
        <v>1</v>
      </c>
      <c r="B13" s="180" t="inlineStr">
        <is>
          <t>PICCCATHETER</t>
        </is>
      </c>
      <c r="C13" s="152" t="n"/>
      <c r="D13" s="152" t="n"/>
      <c r="E13" s="152" t="n"/>
      <c r="F13" s="152" t="n"/>
      <c r="G13" s="153" t="n"/>
      <c r="H13" s="180" t="inlineStr">
        <is>
          <t>5FR,2lumen,135cmwire</t>
        </is>
      </c>
      <c r="I13" s="152" t="n"/>
      <c r="J13" s="152" t="n"/>
      <c r="K13" s="153" t="n"/>
      <c r="L13" s="181" t="inlineStr">
        <is>
          <t>EA</t>
        </is>
      </c>
      <c r="M13" s="152" t="n"/>
      <c r="N13" s="153" t="n"/>
      <c r="O13" s="182" t="n">
        <v>5</v>
      </c>
      <c r="P13" s="182" t="n">
        <v>182830</v>
      </c>
      <c r="Q13" s="152" t="n"/>
      <c r="R13" s="152" t="n"/>
      <c r="S13" s="153" t="n"/>
      <c r="T13" s="183" t="n">
        <v>914150</v>
      </c>
      <c r="U13" s="152" t="n"/>
      <c r="V13" s="152" t="n"/>
      <c r="W13" s="153" t="n"/>
      <c r="X13" s="184" t="n"/>
      <c r="Y13" s="155" t="n"/>
    </row>
    <row r="14">
      <c r="A14" s="13" t="n">
        <v>2</v>
      </c>
      <c r="B14" s="185" t="inlineStr">
        <is>
          <t>PICCCATHETER</t>
        </is>
      </c>
      <c r="C14" s="152" t="n"/>
      <c r="D14" s="152" t="n"/>
      <c r="E14" s="152" t="n"/>
      <c r="F14" s="152" t="n"/>
      <c r="G14" s="153" t="n"/>
      <c r="H14" s="180" t="inlineStr">
        <is>
          <t>6FR,3lumen,130cmwire</t>
        </is>
      </c>
      <c r="I14" s="152" t="n"/>
      <c r="J14" s="152" t="n"/>
      <c r="K14" s="153" t="n"/>
      <c r="L14" s="181" t="inlineStr">
        <is>
          <t>EA</t>
        </is>
      </c>
      <c r="M14" s="152" t="n"/>
      <c r="N14" s="153" t="n"/>
      <c r="O14" s="182" t="n">
        <v>5</v>
      </c>
      <c r="P14" s="182" t="n">
        <v>182830</v>
      </c>
      <c r="Q14" s="152" t="n"/>
      <c r="R14" s="152" t="n"/>
      <c r="S14" s="153" t="n"/>
      <c r="T14" s="183" t="n">
        <v>914150</v>
      </c>
      <c r="U14" s="152" t="n"/>
      <c r="V14" s="152" t="n"/>
      <c r="W14" s="153" t="n"/>
      <c r="X14" s="184" t="n"/>
      <c r="Y14" s="155" t="n"/>
    </row>
    <row r="15">
      <c r="A15" s="13" t="n">
        <v>3</v>
      </c>
      <c r="B15" s="185" t="inlineStr">
        <is>
          <t>dilator</t>
        </is>
      </c>
      <c r="C15" s="152" t="n"/>
      <c r="D15" s="152" t="n"/>
      <c r="E15" s="152" t="n"/>
      <c r="F15" s="152" t="n"/>
      <c r="G15" s="153" t="n"/>
      <c r="H15" s="180" t="inlineStr">
        <is>
          <t>8Fr</t>
        </is>
      </c>
      <c r="I15" s="152" t="n"/>
      <c r="J15" s="152" t="n"/>
      <c r="K15" s="153" t="n"/>
      <c r="L15" s="186" t="inlineStr">
        <is>
          <t>EA</t>
        </is>
      </c>
      <c r="M15" s="152" t="n"/>
      <c r="N15" s="153" t="n"/>
      <c r="O15" s="182" t="n">
        <v>10</v>
      </c>
      <c r="P15" s="182" t="n">
        <v>18500</v>
      </c>
      <c r="Q15" s="152" t="n"/>
      <c r="R15" s="152" t="n"/>
      <c r="S15" s="153" t="n"/>
      <c r="T15" s="183" t="n">
        <v>185000</v>
      </c>
      <c r="U15" s="152" t="n"/>
      <c r="V15" s="152" t="n"/>
      <c r="W15" s="153" t="n"/>
      <c r="X15" s="184" t="n"/>
      <c r="Y15" s="155" t="n"/>
    </row>
    <row r="16">
      <c r="A16" s="13" t="n">
        <v>4</v>
      </c>
      <c r="B16" s="185" t="inlineStr">
        <is>
          <t>dilator</t>
        </is>
      </c>
      <c r="C16" s="152" t="n"/>
      <c r="D16" s="152" t="n"/>
      <c r="E16" s="152" t="n"/>
      <c r="F16" s="152" t="n"/>
      <c r="G16" s="153" t="n"/>
      <c r="H16" s="180" t="inlineStr">
        <is>
          <t>10Fr</t>
        </is>
      </c>
      <c r="I16" s="152" t="n"/>
      <c r="J16" s="152" t="n"/>
      <c r="K16" s="153" t="n"/>
      <c r="L16" s="186" t="inlineStr">
        <is>
          <t>EA</t>
        </is>
      </c>
      <c r="M16" s="152" t="n"/>
      <c r="N16" s="153" t="n"/>
      <c r="O16" s="182" t="n">
        <v>10</v>
      </c>
      <c r="P16" s="187" t="n">
        <v>18500</v>
      </c>
      <c r="Q16" s="152" t="n"/>
      <c r="R16" s="152" t="n"/>
      <c r="S16" s="153" t="n"/>
      <c r="T16" s="183" t="n">
        <v>185000</v>
      </c>
      <c r="U16" s="152" t="n"/>
      <c r="V16" s="152" t="n"/>
      <c r="W16" s="153" t="n"/>
      <c r="X16" s="184" t="n"/>
      <c r="Y16" s="155" t="n"/>
    </row>
    <row r="17">
      <c r="A17" s="13" t="n">
        <v>5</v>
      </c>
      <c r="B17" s="185" t="inlineStr">
        <is>
          <t>APlusGuideWire</t>
        </is>
      </c>
      <c r="C17" s="152" t="n"/>
      <c r="D17" s="152" t="n"/>
      <c r="E17" s="152" t="n"/>
      <c r="F17" s="152" t="n"/>
      <c r="G17" s="153" t="n"/>
      <c r="H17" s="180" t="inlineStr">
        <is>
          <t>110cm</t>
        </is>
      </c>
      <c r="I17" s="152" t="n"/>
      <c r="J17" s="152" t="n"/>
      <c r="K17" s="153" t="n"/>
      <c r="L17" s="186" t="inlineStr">
        <is>
          <t>EA</t>
        </is>
      </c>
      <c r="M17" s="152" t="n"/>
      <c r="N17" s="153" t="n"/>
      <c r="O17" s="182" t="n">
        <v>20</v>
      </c>
      <c r="P17" s="182" t="n">
        <v>20800</v>
      </c>
      <c r="Q17" s="152" t="n"/>
      <c r="R17" s="152" t="n"/>
      <c r="S17" s="153" t="n"/>
      <c r="T17" s="183" t="n">
        <v>416000</v>
      </c>
      <c r="U17" s="152" t="n"/>
      <c r="V17" s="152" t="n"/>
      <c r="W17" s="153" t="n"/>
      <c r="X17" s="184" t="n"/>
      <c r="Y17" s="155" t="n"/>
    </row>
    <row r="18">
      <c r="A18" s="13" t="n">
        <v>6</v>
      </c>
      <c r="B18" s="185" t="inlineStr">
        <is>
          <t>concertocoil</t>
        </is>
      </c>
      <c r="C18" s="152" t="n"/>
      <c r="D18" s="152" t="n"/>
      <c r="E18" s="152" t="n"/>
      <c r="F18" s="152" t="n"/>
      <c r="G18" s="153" t="n"/>
      <c r="H18" s="188" t="inlineStr">
        <is>
          <t>5mm-20cm</t>
        </is>
      </c>
      <c r="I18" s="152" t="n"/>
      <c r="J18" s="152" t="n"/>
      <c r="K18" s="153" t="n"/>
      <c r="L18" s="189" t="inlineStr">
        <is>
          <t>EA</t>
        </is>
      </c>
      <c r="M18" s="152" t="n"/>
      <c r="N18" s="153" t="n"/>
      <c r="O18" s="183" t="n">
        <v>2</v>
      </c>
      <c r="P18" s="183" t="n">
        <v>353800</v>
      </c>
      <c r="Q18" s="152" t="n"/>
      <c r="R18" s="152" t="n"/>
      <c r="S18" s="153" t="n"/>
      <c r="T18" s="183" t="n">
        <v>707600</v>
      </c>
      <c r="U18" s="152" t="n"/>
      <c r="V18" s="152" t="n"/>
      <c r="W18" s="153" t="n"/>
      <c r="X18" s="190" t="n"/>
      <c r="Y18" s="155" t="n"/>
    </row>
    <row r="19">
      <c r="A19" s="13" t="n">
        <v>7</v>
      </c>
      <c r="B19" s="188" t="inlineStr">
        <is>
          <t>AsahiMastersParkwaySoft</t>
        </is>
      </c>
      <c r="C19" s="152" t="n"/>
      <c r="D19" s="152" t="n"/>
      <c r="E19" s="152" t="n"/>
      <c r="F19" s="152" t="n"/>
      <c r="G19" s="153" t="n"/>
      <c r="H19" s="191" t="inlineStr">
        <is>
          <t>1.98Fr105cm</t>
        </is>
      </c>
      <c r="I19" s="152" t="n"/>
      <c r="J19" s="152" t="n"/>
      <c r="K19" s="153" t="n"/>
      <c r="L19" s="189" t="inlineStr">
        <is>
          <t>EA</t>
        </is>
      </c>
      <c r="M19" s="152" t="n"/>
      <c r="N19" s="153" t="n"/>
      <c r="O19" s="183" t="n">
        <v>1</v>
      </c>
      <c r="P19" s="183" t="n">
        <v>306400</v>
      </c>
      <c r="Q19" s="152" t="n"/>
      <c r="R19" s="152" t="n"/>
      <c r="S19" s="153" t="n"/>
      <c r="T19" s="183" t="n">
        <v>306400</v>
      </c>
      <c r="U19" s="152" t="n"/>
      <c r="V19" s="152" t="n"/>
      <c r="W19" s="153" t="n"/>
      <c r="X19" s="190" t="n"/>
      <c r="Y19" s="155" t="n"/>
    </row>
    <row r="20">
      <c r="A20" s="16" t="n">
        <v>8</v>
      </c>
      <c r="B20" s="180" t="inlineStr">
        <is>
          <t>AsahiMastersParkwaySoft</t>
        </is>
      </c>
      <c r="C20" s="152" t="n"/>
      <c r="D20" s="152" t="n"/>
      <c r="E20" s="152" t="n"/>
      <c r="F20" s="152" t="n"/>
      <c r="G20" s="153" t="n"/>
      <c r="H20" s="180" t="inlineStr">
        <is>
          <t>1.98Fr125cm</t>
        </is>
      </c>
      <c r="I20" s="152" t="n"/>
      <c r="J20" s="152" t="n"/>
      <c r="K20" s="153" t="n"/>
      <c r="L20" s="181" t="inlineStr">
        <is>
          <t>EA</t>
        </is>
      </c>
      <c r="M20" s="152" t="n"/>
      <c r="N20" s="153" t="n"/>
      <c r="O20" s="182" t="n">
        <v>2</v>
      </c>
      <c r="P20" s="182" t="n">
        <v>306400</v>
      </c>
      <c r="Q20" s="152" t="n"/>
      <c r="R20" s="152" t="n"/>
      <c r="S20" s="153" t="n"/>
      <c r="T20" s="183" t="n">
        <v>612800</v>
      </c>
      <c r="U20" s="152" t="n"/>
      <c r="V20" s="152" t="n"/>
      <c r="W20" s="153" t="n"/>
      <c r="X20" s="190" t="n"/>
      <c r="Y20" s="155" t="n"/>
    </row>
    <row r="21">
      <c r="A21" s="16" t="n">
        <v>9</v>
      </c>
      <c r="B21" s="185" t="inlineStr">
        <is>
          <t>DrainageCatheter</t>
        </is>
      </c>
      <c r="C21" s="152" t="n"/>
      <c r="D21" s="152" t="n"/>
      <c r="E21" s="152" t="n"/>
      <c r="F21" s="152" t="n"/>
      <c r="G21" s="153" t="n"/>
      <c r="H21" s="192" t="inlineStr">
        <is>
          <t>8.5Fr</t>
        </is>
      </c>
      <c r="I21" s="152" t="n"/>
      <c r="J21" s="152" t="n"/>
      <c r="K21" s="153" t="n"/>
      <c r="L21" s="186" t="inlineStr">
        <is>
          <t>EA</t>
        </is>
      </c>
      <c r="M21" s="152" t="n"/>
      <c r="N21" s="153" t="n"/>
      <c r="O21" s="182" t="n">
        <v>10</v>
      </c>
      <c r="P21" s="182" t="n">
        <v>78900</v>
      </c>
      <c r="Q21" s="152" t="n"/>
      <c r="R21" s="152" t="n"/>
      <c r="S21" s="153" t="n"/>
      <c r="T21" s="183" t="n">
        <v>789000</v>
      </c>
      <c r="U21" s="152" t="n"/>
      <c r="V21" s="152" t="n"/>
      <c r="W21" s="153" t="n"/>
      <c r="X21" s="190" t="n"/>
      <c r="Y21" s="155" t="n"/>
    </row>
    <row r="22">
      <c r="A22" s="16" t="n">
        <v>10</v>
      </c>
      <c r="B22" s="192" t="n"/>
      <c r="C22" s="152" t="n"/>
      <c r="D22" s="152" t="n"/>
      <c r="E22" s="152" t="n"/>
      <c r="F22" s="152" t="n"/>
      <c r="G22" s="153" t="n"/>
      <c r="H22" s="192" t="n"/>
      <c r="I22" s="152" t="n"/>
      <c r="J22" s="152" t="n"/>
      <c r="K22" s="153" t="n"/>
      <c r="L22" s="186" t="n"/>
      <c r="M22" s="152" t="n"/>
      <c r="N22" s="153" t="n"/>
      <c r="O22" s="182" t="n"/>
      <c r="P22" s="182" t="n"/>
      <c r="Q22" s="152" t="n"/>
      <c r="R22" s="152" t="n"/>
      <c r="S22" s="153" t="n"/>
      <c r="T22" s="183" t="n"/>
      <c r="U22" s="152" t="n"/>
      <c r="V22" s="152" t="n"/>
      <c r="W22" s="153" t="n"/>
      <c r="X22" s="190" t="n"/>
      <c r="Y22" s="155" t="n"/>
    </row>
    <row r="23">
      <c r="A23" s="16" t="n">
        <v>11</v>
      </c>
      <c r="B23" s="180" t="n"/>
      <c r="C23" s="152" t="n"/>
      <c r="D23" s="152" t="n"/>
      <c r="E23" s="152" t="n"/>
      <c r="F23" s="152" t="n"/>
      <c r="G23" s="153" t="n"/>
      <c r="H23" s="192" t="n"/>
      <c r="I23" s="152" t="n"/>
      <c r="J23" s="152" t="n"/>
      <c r="K23" s="153" t="n"/>
      <c r="L23" s="186" t="n"/>
      <c r="M23" s="152" t="n"/>
      <c r="N23" s="153" t="n"/>
      <c r="O23" s="182" t="n"/>
      <c r="P23" s="182" t="n"/>
      <c r="Q23" s="152" t="n"/>
      <c r="R23" s="152" t="n"/>
      <c r="S23" s="153" t="n"/>
      <c r="T23" s="183" t="n"/>
      <c r="U23" s="152" t="n"/>
      <c r="V23" s="152" t="n"/>
      <c r="W23" s="153" t="n"/>
      <c r="X23" s="190" t="n"/>
      <c r="Y23" s="155" t="n"/>
    </row>
    <row r="24">
      <c r="A24" s="17" t="n">
        <v>12</v>
      </c>
      <c r="B24" s="193" t="n"/>
      <c r="C24" s="152" t="n"/>
      <c r="D24" s="152" t="n"/>
      <c r="E24" s="152" t="n"/>
      <c r="F24" s="152" t="n"/>
      <c r="G24" s="153" t="n"/>
      <c r="H24" s="151" t="n"/>
      <c r="I24" s="152" t="n"/>
      <c r="J24" s="152" t="n"/>
      <c r="K24" s="153" t="n"/>
      <c r="L24" s="194" t="n"/>
      <c r="M24" s="152" t="n"/>
      <c r="N24" s="153" t="n"/>
      <c r="O24" s="195" t="n"/>
      <c r="P24" s="194" t="n"/>
      <c r="Q24" s="152" t="n"/>
      <c r="R24" s="152" t="n"/>
      <c r="S24" s="153" t="n"/>
      <c r="T24" s="194" t="n"/>
      <c r="U24" s="152" t="n"/>
      <c r="V24" s="152" t="n"/>
      <c r="W24" s="153" t="n"/>
      <c r="X24" s="190" t="n"/>
      <c r="Y24" s="155" t="n"/>
    </row>
    <row r="25">
      <c r="A25" s="16" t="n">
        <v>13</v>
      </c>
      <c r="B25" s="196" t="n"/>
      <c r="C25" s="152" t="n"/>
      <c r="D25" s="152" t="n"/>
      <c r="E25" s="152" t="n"/>
      <c r="F25" s="152" t="n"/>
      <c r="G25" s="153" t="n"/>
      <c r="H25" s="196" t="n"/>
      <c r="I25" s="152" t="n"/>
      <c r="J25" s="152" t="n"/>
      <c r="K25" s="153" t="n"/>
      <c r="L25" s="197" t="n"/>
      <c r="M25" s="152" t="n"/>
      <c r="N25" s="153" t="n"/>
      <c r="O25" s="198" t="n"/>
      <c r="P25" s="198" t="n"/>
      <c r="Q25" s="152" t="n"/>
      <c r="R25" s="152" t="n"/>
      <c r="S25" s="153" t="n"/>
      <c r="T25" s="198" t="n"/>
      <c r="U25" s="152" t="n"/>
      <c r="V25" s="152" t="n"/>
      <c r="W25" s="153" t="n"/>
      <c r="X25" s="190" t="n"/>
      <c r="Y25" s="155" t="n"/>
    </row>
    <row r="26">
      <c r="A26" s="16" t="n">
        <v>14</v>
      </c>
      <c r="B26" s="151" t="n"/>
      <c r="C26" s="152" t="n"/>
      <c r="D26" s="152" t="n"/>
      <c r="E26" s="152" t="n"/>
      <c r="F26" s="152" t="n"/>
      <c r="G26" s="153" t="n"/>
      <c r="H26" s="151" t="n"/>
      <c r="I26" s="152" t="n"/>
      <c r="J26" s="152" t="n"/>
      <c r="K26" s="153" t="n"/>
      <c r="L26" s="194" t="n"/>
      <c r="M26" s="152" t="n"/>
      <c r="N26" s="153" t="n"/>
      <c r="O26" s="194" t="n"/>
      <c r="P26" s="194" t="n"/>
      <c r="Q26" s="152" t="n"/>
      <c r="R26" s="152" t="n"/>
      <c r="S26" s="153" t="n"/>
      <c r="T26" s="194" t="n"/>
      <c r="U26" s="152" t="n"/>
      <c r="V26" s="152" t="n"/>
      <c r="W26" s="153" t="n"/>
      <c r="X26" s="190" t="n"/>
      <c r="Y26" s="155" t="n"/>
    </row>
    <row r="27">
      <c r="A27" s="16" t="n">
        <v>15</v>
      </c>
      <c r="B27" s="193" t="n"/>
      <c r="C27" s="152" t="n"/>
      <c r="D27" s="152" t="n"/>
      <c r="E27" s="152" t="n"/>
      <c r="F27" s="152" t="n"/>
      <c r="G27" s="153" t="n"/>
      <c r="H27" s="151" t="n"/>
      <c r="I27" s="152" t="n"/>
      <c r="J27" s="152" t="n"/>
      <c r="K27" s="153" t="n"/>
      <c r="L27" s="194" t="n"/>
      <c r="M27" s="152" t="n"/>
      <c r="N27" s="153" t="n"/>
      <c r="O27" s="194" t="n"/>
      <c r="P27" s="194" t="n"/>
      <c r="Q27" s="152" t="n"/>
      <c r="R27" s="152" t="n"/>
      <c r="S27" s="153" t="n"/>
      <c r="T27" s="194" t="n"/>
      <c r="U27" s="152" t="n"/>
      <c r="V27" s="152" t="n"/>
      <c r="W27" s="153" t="n"/>
      <c r="X27" s="190" t="n"/>
      <c r="Y27" s="155" t="n"/>
    </row>
    <row r="28">
      <c r="A28" s="16" t="n">
        <v>16</v>
      </c>
      <c r="B28" s="193" t="n"/>
      <c r="C28" s="152" t="n"/>
      <c r="D28" s="152" t="n"/>
      <c r="E28" s="152" t="n"/>
      <c r="F28" s="152" t="n"/>
      <c r="G28" s="153" t="n"/>
      <c r="H28" s="151" t="n"/>
      <c r="I28" s="152" t="n"/>
      <c r="J28" s="152" t="n"/>
      <c r="K28" s="153" t="n"/>
      <c r="L28" s="194" t="n"/>
      <c r="M28" s="152" t="n"/>
      <c r="N28" s="153" t="n"/>
      <c r="O28" s="194" t="n"/>
      <c r="P28" s="194" t="n"/>
      <c r="Q28" s="152" t="n"/>
      <c r="R28" s="152" t="n"/>
      <c r="S28" s="153" t="n"/>
      <c r="T28" s="194" t="n"/>
      <c r="U28" s="152" t="n"/>
      <c r="V28" s="152" t="n"/>
      <c r="W28" s="153" t="n"/>
      <c r="X28" s="190" t="n"/>
      <c r="Y28" s="155" t="n"/>
    </row>
    <row r="29">
      <c r="A29" s="16" t="n">
        <v>17</v>
      </c>
      <c r="B29" s="193" t="n"/>
      <c r="C29" s="152" t="n"/>
      <c r="D29" s="152" t="n"/>
      <c r="E29" s="152" t="n"/>
      <c r="F29" s="152" t="n"/>
      <c r="G29" s="153" t="n"/>
      <c r="H29" s="151" t="n"/>
      <c r="I29" s="152" t="n"/>
      <c r="J29" s="152" t="n"/>
      <c r="K29" s="153" t="n"/>
      <c r="L29" s="194" t="n"/>
      <c r="M29" s="152" t="n"/>
      <c r="N29" s="153" t="n"/>
      <c r="O29" s="194" t="n"/>
      <c r="P29" s="194" t="n"/>
      <c r="Q29" s="152" t="n"/>
      <c r="R29" s="152" t="n"/>
      <c r="S29" s="153" t="n"/>
      <c r="T29" s="194" t="n"/>
      <c r="U29" s="152" t="n"/>
      <c r="V29" s="152" t="n"/>
      <c r="W29" s="153" t="n"/>
      <c r="X29" s="190" t="n"/>
      <c r="Y29" s="155" t="n"/>
    </row>
    <row r="30">
      <c r="A30" s="17" t="n">
        <v>18</v>
      </c>
      <c r="B30" s="199" t="n"/>
      <c r="C30" s="174" t="n"/>
      <c r="D30" s="174" t="n"/>
      <c r="E30" s="174" t="n"/>
      <c r="F30" s="174" t="n"/>
      <c r="G30" s="175" t="n"/>
      <c r="H30" s="173" t="n"/>
      <c r="I30" s="174" t="n"/>
      <c r="J30" s="174" t="n"/>
      <c r="K30" s="175" t="n"/>
      <c r="L30" s="200" t="n"/>
      <c r="M30" s="174" t="n"/>
      <c r="N30" s="175" t="n"/>
      <c r="O30" s="195" t="n"/>
      <c r="P30" s="200" t="n"/>
      <c r="Q30" s="174" t="n"/>
      <c r="R30" s="174" t="n"/>
      <c r="S30" s="175" t="n"/>
      <c r="T30" s="200" t="n"/>
      <c r="U30" s="174" t="n"/>
      <c r="V30" s="174" t="n"/>
      <c r="W30" s="175" t="n"/>
      <c r="X30" s="201" t="n"/>
      <c r="Y30" s="177" t="n"/>
    </row>
    <row r="31">
      <c r="A31" s="21" t="n"/>
      <c r="B31" s="202" t="inlineStr">
        <is>
          <t>합계금액(VAT포함)</t>
        </is>
      </c>
      <c r="C31" s="203" t="n"/>
      <c r="D31" s="203" t="n"/>
      <c r="E31" s="203" t="n"/>
      <c r="F31" s="203" t="n"/>
      <c r="G31" s="203" t="n"/>
      <c r="H31" s="203" t="n"/>
      <c r="I31" s="203" t="n"/>
      <c r="J31" s="203" t="n"/>
      <c r="K31" s="203" t="n"/>
      <c r="L31" s="203" t="n"/>
      <c r="M31" s="203" t="n"/>
      <c r="N31" s="204" t="n"/>
      <c r="O31" s="122" t="n"/>
      <c r="P31" s="205" t="n"/>
      <c r="Q31" s="203" t="n"/>
      <c r="R31" s="203" t="n"/>
      <c r="S31" s="204" t="n"/>
      <c r="T31" s="205">
        <f>SUM(T13:W30)</f>
        <v/>
      </c>
      <c r="U31" s="203" t="n"/>
      <c r="V31" s="203" t="n"/>
      <c r="W31" s="204" t="n"/>
      <c r="X31" s="206" t="n"/>
      <c r="Y31" s="207" t="n"/>
    </row>
    <row r="32">
      <c r="A32" s="208" t="inlineStr">
        <is>
          <t xml:space="preserve"> 비   고 :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3" t="n"/>
      <c r="R32" s="143" t="n"/>
      <c r="S32" s="143" t="n"/>
      <c r="T32" s="143" t="n"/>
      <c r="U32" s="143" t="n"/>
      <c r="V32" s="143" t="n"/>
      <c r="W32" s="143" t="n"/>
      <c r="X32" s="143" t="n"/>
      <c r="Y32" s="146" t="n"/>
    </row>
    <row r="33">
      <c r="A33" s="209" t="n"/>
      <c r="B33" s="174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77" t="n"/>
    </row>
    <row r="34"/>
    <row r="35"/>
    <row r="36"/>
    <row r="37"/>
    <row r="38"/>
    <row r="39"/>
    <row r="40"/>
  </sheetData>
  <mergeCells count="144">
    <mergeCell ref="A33:Y33"/>
    <mergeCell ref="O7:Y7"/>
    <mergeCell ref="H27:K27"/>
    <mergeCell ref="P18:S18"/>
    <mergeCell ref="T16:W16"/>
    <mergeCell ref="K7:N7"/>
    <mergeCell ref="H24:K24"/>
    <mergeCell ref="A6:H6"/>
    <mergeCell ref="T18:W18"/>
    <mergeCell ref="S6:U6"/>
    <mergeCell ref="L25:N25"/>
    <mergeCell ref="H26:K26"/>
    <mergeCell ref="X28:Y28"/>
    <mergeCell ref="P20:S20"/>
    <mergeCell ref="O6:R6"/>
    <mergeCell ref="X30:Y30"/>
    <mergeCell ref="B31:N31"/>
    <mergeCell ref="P22:S22"/>
    <mergeCell ref="X20:Y20"/>
    <mergeCell ref="X15:Y15"/>
    <mergeCell ref="X29:Y29"/>
    <mergeCell ref="A1:Y3"/>
    <mergeCell ref="B22:G22"/>
    <mergeCell ref="T12:W12"/>
    <mergeCell ref="L13:N13"/>
    <mergeCell ref="V6:Y6"/>
    <mergeCell ref="T21:W21"/>
    <mergeCell ref="B12:G12"/>
    <mergeCell ref="B21:G21"/>
    <mergeCell ref="L15:N15"/>
    <mergeCell ref="T23:W23"/>
    <mergeCell ref="L24:N24"/>
    <mergeCell ref="H13:K13"/>
    <mergeCell ref="L18:N18"/>
    <mergeCell ref="B14:G14"/>
    <mergeCell ref="B23:G23"/>
    <mergeCell ref="T13:W13"/>
    <mergeCell ref="B13:G13"/>
    <mergeCell ref="H15:K15"/>
    <mergeCell ref="L26:N26"/>
    <mergeCell ref="P24:S24"/>
    <mergeCell ref="X17:Y17"/>
    <mergeCell ref="H23:K23"/>
    <mergeCell ref="H18:K18"/>
    <mergeCell ref="T27:W27"/>
    <mergeCell ref="A7:H7"/>
    <mergeCell ref="P26:S26"/>
    <mergeCell ref="X19:Y19"/>
    <mergeCell ref="T24:W24"/>
    <mergeCell ref="P25:S25"/>
    <mergeCell ref="H25:K25"/>
    <mergeCell ref="X14:Y14"/>
    <mergeCell ref="V10:Y10"/>
    <mergeCell ref="T25:W25"/>
    <mergeCell ref="B25:G25"/>
    <mergeCell ref="V9:Y9"/>
    <mergeCell ref="H17:K17"/>
    <mergeCell ref="L28:N28"/>
    <mergeCell ref="O8:Y8"/>
    <mergeCell ref="B27:G27"/>
    <mergeCell ref="X31:Y31"/>
    <mergeCell ref="L12:N12"/>
    <mergeCell ref="H19:K19"/>
    <mergeCell ref="X21:Y21"/>
    <mergeCell ref="H28:K28"/>
    <mergeCell ref="J5:J10"/>
    <mergeCell ref="T31:W31"/>
    <mergeCell ref="P13:S13"/>
    <mergeCell ref="A32:Y32"/>
    <mergeCell ref="L14:N14"/>
    <mergeCell ref="H12:K12"/>
    <mergeCell ref="L23:N23"/>
    <mergeCell ref="P30:S30"/>
    <mergeCell ref="X23:Y23"/>
    <mergeCell ref="K10:N10"/>
    <mergeCell ref="B29:G29"/>
    <mergeCell ref="P15:S15"/>
    <mergeCell ref="X13:Y13"/>
    <mergeCell ref="H14:K14"/>
    <mergeCell ref="K6:N6"/>
    <mergeCell ref="X16:Y16"/>
    <mergeCell ref="O5:Y5"/>
    <mergeCell ref="T15:W15"/>
    <mergeCell ref="T29:W29"/>
    <mergeCell ref="X18:Y18"/>
    <mergeCell ref="K9:N9"/>
    <mergeCell ref="B15:G15"/>
    <mergeCell ref="K5:N5"/>
    <mergeCell ref="B24:G24"/>
    <mergeCell ref="O9:R9"/>
    <mergeCell ref="L27:N27"/>
    <mergeCell ref="B26:G26"/>
    <mergeCell ref="L17:N17"/>
    <mergeCell ref="A8:H8"/>
    <mergeCell ref="P27:S27"/>
    <mergeCell ref="B16:G16"/>
    <mergeCell ref="L19:N19"/>
    <mergeCell ref="P17:S17"/>
    <mergeCell ref="A10:H10"/>
    <mergeCell ref="H16:K16"/>
    <mergeCell ref="K8:N8"/>
    <mergeCell ref="B18:G18"/>
    <mergeCell ref="X22:Y22"/>
    <mergeCell ref="H22:K22"/>
    <mergeCell ref="P19:S19"/>
    <mergeCell ref="X12:Y12"/>
    <mergeCell ref="T17:W17"/>
    <mergeCell ref="P28:S28"/>
    <mergeCell ref="T22:W22"/>
    <mergeCell ref="B17:G17"/>
    <mergeCell ref="L30:N30"/>
    <mergeCell ref="P12:S12"/>
    <mergeCell ref="T19:W19"/>
    <mergeCell ref="L20:N20"/>
    <mergeCell ref="T28:W28"/>
    <mergeCell ref="L29:N29"/>
    <mergeCell ref="S10:U10"/>
    <mergeCell ref="B19:G19"/>
    <mergeCell ref="B28:G28"/>
    <mergeCell ref="P14:S14"/>
    <mergeCell ref="H30:K30"/>
    <mergeCell ref="L22:N22"/>
    <mergeCell ref="T30:W30"/>
    <mergeCell ref="P29:S29"/>
    <mergeCell ref="H20:K20"/>
    <mergeCell ref="S9:U9"/>
    <mergeCell ref="H29:K29"/>
    <mergeCell ref="O10:R10"/>
    <mergeCell ref="B30:G30"/>
    <mergeCell ref="T20:W20"/>
    <mergeCell ref="T14:W14"/>
    <mergeCell ref="L21:N21"/>
    <mergeCell ref="B20:G20"/>
    <mergeCell ref="P31:S31"/>
    <mergeCell ref="X24:Y24"/>
    <mergeCell ref="P21:S21"/>
    <mergeCell ref="H21:K21"/>
    <mergeCell ref="X26:Y26"/>
    <mergeCell ref="L16:N16"/>
    <mergeCell ref="P23:S23"/>
    <mergeCell ref="X25:Y25"/>
    <mergeCell ref="T26:W26"/>
    <mergeCell ref="P16:S16"/>
    <mergeCell ref="X27:Y2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m18189</dc:creator>
  <dcterms:created xsi:type="dcterms:W3CDTF">2026-01-10T05:54:17Z</dcterms:created>
  <dcterms:modified xsi:type="dcterms:W3CDTF">2026-01-10T07:25:45Z</dcterms:modified>
  <cp:lastModifiedBy>m18189</cp:lastModifiedBy>
</cp:coreProperties>
</file>